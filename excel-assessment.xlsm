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HREE\Downloads\"/>
    </mc:Choice>
  </mc:AlternateContent>
  <xr:revisionPtr revIDLastSave="0" documentId="13_ncr:1_{6340BED8-8BC8-4434-8344-C380F4DD6660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3" i="20"/>
  <c r="C25" i="20"/>
  <c r="K11" i="20"/>
  <c r="K12" i="20"/>
  <c r="K13" i="20"/>
  <c r="K14" i="20"/>
  <c r="K15" i="20"/>
  <c r="K16" i="20"/>
  <c r="K17" i="20"/>
  <c r="K18" i="20"/>
  <c r="K10" i="20"/>
  <c r="C23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  <c r="H41" i="1"/>
</calcChain>
</file>

<file path=xl/sharedStrings.xml><?xml version="1.0" encoding="utf-8"?>
<sst xmlns="http://schemas.openxmlformats.org/spreadsheetml/2006/main" count="410" uniqueCount="187">
  <si>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</si>
  <si>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</si>
  <si>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</si>
  <si>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</si>
  <si>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</si>
  <si>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</si>
  <si>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</si>
  <si>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</si>
  <si>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</si>
  <si>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</si>
  <si>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</si>
  <si>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</si>
  <si>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</si>
  <si>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</si>
  <si>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</si>
  <si>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</si>
  <si>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</si>
  <si>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</si>
  <si>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</si>
  <si>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</si>
  <si>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</si>
  <si>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</si>
  <si>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</si>
  <si>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</si>
  <si>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</si>
  <si>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</si>
  <si>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</si>
  <si>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</si>
  <si>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</si>
  <si>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</si>
  <si>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</si>
  <si>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</si>
  <si>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</si>
  <si>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</si>
  <si>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</si>
  <si>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</si>
  <si>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</si>
  <si>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</si>
  <si>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</si>
  <si>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</si>
  <si>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</si>
  <si>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</si>
  <si>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</si>
  <si>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</si>
  <si>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</si>
  <si>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</si>
  <si>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</si>
  <si>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</si>
  <si>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</si>
  <si>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</si>
  <si>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</si>
  <si>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</si>
  <si>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</si>
  <si>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</si>
  <si>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</si>
  <si>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</si>
  <si>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</si>
  <si>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</si>
  <si>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</si>
  <si>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</si>
  <si>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</si>
  <si>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</si>
  <si>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</si>
  <si>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</si>
  <si>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</si>
  <si>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</si>
  <si>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</si>
  <si>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</si>
  <si>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</si>
  <si>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</si>
  <si>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</si>
  <si>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</si>
  <si>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</si>
  <si>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</si>
  <si>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</si>
  <si>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</si>
  <si>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</si>
  <si>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</si>
  <si>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</si>
  <si>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</si>
  <si>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</si>
  <si>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</si>
  <si>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</si>
  <si>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</si>
  <si>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</si>
  <si>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</si>
  <si>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</si>
  <si>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</si>
  <si>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</si>
  <si>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</si>
  <si>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</si>
  <si>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</si>
  <si>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</si>
  <si>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</si>
  <si>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</si>
  <si>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</si>
  <si>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</si>
  <si>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</si>
  <si>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</si>
  <si>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</si>
  <si>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</si>
  <si>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</si>
  <si>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</si>
  <si>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</si>
  <si>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</si>
  <si>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</si>
  <si>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</si>
  <si>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</si>
  <si>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</si>
  <si>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</si>
  <si>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</si>
  <si>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</si>
  <si>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</si>
  <si>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</si>
  <si>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</si>
  <si>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</si>
  <si>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</si>
  <si>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</si>
  <si>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</si>
  <si>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</si>
  <si>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</si>
  <si>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</si>
  <si>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</si>
  <si>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</si>
  <si>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</si>
  <si>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</si>
  <si>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</si>
  <si>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</si>
  <si>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</si>
  <si>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</si>
  <si>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</si>
  <si>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</si>
  <si>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</si>
  <si>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</si>
  <si>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</si>
  <si>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</si>
  <si>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</si>
  <si>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</si>
  <si>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</si>
  <si>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</si>
  <si>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</si>
  <si>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</si>
  <si>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</si>
  <si>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</si>
  <si>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</si>
  <si>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</si>
  <si>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</si>
  <si>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</si>
  <si>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</si>
  <si>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</si>
  <si>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</si>
  <si>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</si>
  <si>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</si>
  <si>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</si>
  <si>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</si>
  <si>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</si>
  <si>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</si>
  <si>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</si>
  <si>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</si>
  <si>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</si>
  <si>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</si>
  <si>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</si>
  <si>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</si>
  <si>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</si>
  <si>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</si>
  <si>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</si>
  <si>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</si>
  <si>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</si>
  <si>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</si>
  <si>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</si>
  <si>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</si>
  <si>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</si>
  <si>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</si>
  <si>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</si>
  <si>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</si>
  <si>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</si>
  <si>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</si>
  <si>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 used text to column function to complete this task.</t>
  </si>
  <si>
    <t>1. I selected the "values" column containing the hyphen-separated values in Table_A.</t>
  </si>
  <si>
    <t>2. I clicked on the "Data" tab. In the "Data Tools", I clicked on "Text to Columns."</t>
  </si>
  <si>
    <t>4. I choosed the destination cells from col_1 and then Clicked "Finish."</t>
  </si>
  <si>
    <t>3. In the "Convert Text to Columns", I choosed "Delimited method" and clicked "Next." I Choosed "Other" and enter a hyphen ("-") in the box as my data is hyphen seperated. then I saw a preview of how my data will be splitting. I Clicked "Next."</t>
  </si>
  <si>
    <t>1. I Used the "SUMIF" function to calculate the sum of all values in the "Sales" column of "Table_A" that are not equal to #N/A.</t>
  </si>
  <si>
    <t>2. I Used the "COUNTIF" function to count the number of #N/A values in the "Sales" column of "Table_A".</t>
  </si>
  <si>
    <t>3. I Multipled the count of #N/A values by 20 and then added it to the sum calculated in step 1 to get the final sum with substituted values.</t>
  </si>
  <si>
    <t>SUMIF &amp; COUNTIF</t>
  </si>
  <si>
    <t>Helper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</si>
</sst>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M1" zoomScaleNormal="100" workbookViewId="0">
      <pane ySplit="1" topLeftCell="A2" activePane="bottomLeft" state="frozen"/>
      <selection pane="bottomLeft" activeCell="M2" sqref="M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5">
      <c r="H41" s="1">
        <f>SUMIF(Dataset!H2:H40,"&gt;20")</f>
        <v>1473.0000000000002</v>
      </c>
    </row>
  </sheetData>
  <conditionalFormatting sqref="G1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11" sqref="D11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>
        <f>SUMIF(Dataset!H2:H40,"&gt;20")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6" sqref="H26"/>
    </sheetView>
  </sheetViews>
  <sheetFormatPr defaultColWidth="11" defaultRowHeight="12.75" x14ac:dyDescent="0.2"/>
  <cols>
    <col min="1" max="1" width="20" style="2" customWidth="1"/>
    <col min="2" max="2" width="17.6640625" style="2" customWidth="1"/>
    <col min="3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VLOOKUP(A6,Dataset!A1:X40,7,FALSE)</f>
        <v>2.7</v>
      </c>
      <c r="C6" s="12">
        <f>VLOOKUP(A6,Dataset!A1:X40,14,FALSE)</f>
        <v>7.6</v>
      </c>
      <c r="D6" s="12">
        <f>VLOOKUP(A6,Dataset!A1:X40,18,FALSE)</f>
        <v>4.2</v>
      </c>
      <c r="E6" s="12">
        <f>VLOOKUP(A6,Dataset!A1:X40,20,FALSE)</f>
        <v>8.9</v>
      </c>
      <c r="F6" s="8">
        <f>VLOOKUP(A6,Dataset!A1:X40,22,FALSE)</f>
        <v>4.2</v>
      </c>
    </row>
    <row r="7" spans="1:7" ht="15" x14ac:dyDescent="0.25">
      <c r="A7" s="7" t="s">
        <v>4</v>
      </c>
      <c r="B7" s="12">
        <f>VLOOKUP(A7,Dataset!A2:X41,7,FALSE)</f>
        <v>2.7</v>
      </c>
      <c r="C7" s="12">
        <f>VLOOKUP(A7,Dataset!A2:X41,14,FALSE)</f>
        <v>7.6</v>
      </c>
      <c r="D7" s="12">
        <f>VLOOKUP(A7,Dataset!A2:X41,18,FALSE)</f>
        <v>4.2</v>
      </c>
      <c r="E7" s="12">
        <f>VLOOKUP(A7,Dataset!A2:X41,20,FALSE)</f>
        <v>8.9</v>
      </c>
      <c r="F7" s="8">
        <f>VLOOKUP(A7,Dataset!A2:X41,22,FALSE)</f>
        <v>4.2</v>
      </c>
    </row>
    <row r="8" spans="1:7" ht="15" x14ac:dyDescent="0.25">
      <c r="A8" s="7" t="s">
        <v>7</v>
      </c>
      <c r="B8" s="12">
        <f>VLOOKUP(A8,Dataset!A3:X42,7,FALSE)</f>
        <v>3.6</v>
      </c>
      <c r="C8" s="12">
        <f>VLOOKUP(A8,Dataset!A3:X42,14,FALSE)</f>
        <v>11.1</v>
      </c>
      <c r="D8" s="12">
        <f>VLOOKUP(A8,Dataset!A3:X42,18,FALSE)</f>
        <v>5.8</v>
      </c>
      <c r="E8" s="12">
        <f>VLOOKUP(A8,Dataset!A3:X42,20,FALSE)</f>
        <v>12.2</v>
      </c>
      <c r="F8" s="8">
        <f>VLOOKUP(A8,Dataset!A3:X42,22,FALSE)</f>
        <v>5.8</v>
      </c>
    </row>
    <row r="9" spans="1:7" ht="15" x14ac:dyDescent="0.25">
      <c r="A9" s="7" t="s">
        <v>8</v>
      </c>
      <c r="B9" s="12">
        <f>VLOOKUP(A9,Dataset!A4:X43,7,FALSE)</f>
        <v>4.9000000000000004</v>
      </c>
      <c r="C9" s="12">
        <f>VLOOKUP(A9,Dataset!A4:X43,14,FALSE)</f>
        <v>13.3</v>
      </c>
      <c r="D9" s="12">
        <f>VLOOKUP(A9,Dataset!A4:X43,18,FALSE)</f>
        <v>8.1</v>
      </c>
      <c r="E9" s="12">
        <f>VLOOKUP(A9,Dataset!A4:X43,20,FALSE)</f>
        <v>17</v>
      </c>
      <c r="F9" s="8">
        <f>VLOOKUP(A9,Dataset!A4:X43,22,FALSE)</f>
        <v>8.1</v>
      </c>
    </row>
    <row r="10" spans="1:7" ht="15" x14ac:dyDescent="0.25">
      <c r="A10" s="7" t="s">
        <v>11</v>
      </c>
      <c r="B10" s="12">
        <f>VLOOKUP(A10,Dataset!A5:X44,7,FALSE)</f>
        <v>9.4</v>
      </c>
      <c r="C10" s="12">
        <f>VLOOKUP(A10,Dataset!A5:X44,14,FALSE)</f>
        <v>28.3</v>
      </c>
      <c r="D10" s="12">
        <f>VLOOKUP(A10,Dataset!A5:X44,18,FALSE)</f>
        <v>16.100000000000001</v>
      </c>
      <c r="E10" s="12">
        <f>VLOOKUP(A10,Dataset!A5:X44,20,FALSE)</f>
        <v>32.799999999999997</v>
      </c>
      <c r="F10" s="8">
        <f>VLOOKUP(A10,Dataset!A5:X44,22,FALSE)</f>
        <v>16.100000000000001</v>
      </c>
    </row>
    <row r="11" spans="1:7" ht="15" x14ac:dyDescent="0.25">
      <c r="A11" s="7" t="s">
        <v>12</v>
      </c>
      <c r="B11" s="12">
        <f>VLOOKUP(A11,Dataset!A6:X45,7,FALSE)</f>
        <v>11.6</v>
      </c>
      <c r="C11" s="12">
        <f>VLOOKUP(A11,Dataset!A6:X45,14,FALSE)</f>
        <v>35.200000000000003</v>
      </c>
      <c r="D11" s="12">
        <f>VLOOKUP(A11,Dataset!A6:X45,18,FALSE)</f>
        <v>21.3</v>
      </c>
      <c r="E11" s="12">
        <f>VLOOKUP(A11,Dataset!A6:X45,20,FALSE)</f>
        <v>43</v>
      </c>
      <c r="F11" s="8">
        <f>VLOOKUP(A11,Dataset!A6:X45,22,FALSE)</f>
        <v>21.3</v>
      </c>
    </row>
    <row r="12" spans="1:7" ht="15" x14ac:dyDescent="0.25">
      <c r="A12" s="7" t="s">
        <v>14</v>
      </c>
      <c r="B12" s="12">
        <f>VLOOKUP(A12,Dataset!A7:X46,7,FALSE)</f>
        <v>18.399999999999999</v>
      </c>
      <c r="C12" s="12">
        <f>VLOOKUP(A12,Dataset!A7:X46,14,FALSE)</f>
        <v>55.6</v>
      </c>
      <c r="D12" s="12">
        <f>VLOOKUP(A12,Dataset!A7:X46,18,FALSE)</f>
        <v>33.799999999999997</v>
      </c>
      <c r="E12" s="12">
        <f>VLOOKUP(A12,Dataset!A7:X46,20,FALSE)</f>
        <v>67.900000000000006</v>
      </c>
      <c r="F12" s="8">
        <f>VLOOKUP(A12,Dataset!A7:X46,22,FALSE)</f>
        <v>33.799999999999997</v>
      </c>
    </row>
    <row r="13" spans="1:7" ht="15" x14ac:dyDescent="0.25">
      <c r="A13" s="7" t="s">
        <v>15</v>
      </c>
      <c r="B13" s="12">
        <f>VLOOKUP(A13,Dataset!A8:X47,7,FALSE)</f>
        <v>0</v>
      </c>
      <c r="C13" s="12">
        <f>VLOOKUP(A13,Dataset!A8:X47,14,FALSE)</f>
        <v>0</v>
      </c>
      <c r="D13" s="12">
        <f>VLOOKUP(A13,Dataset!A8:X47,18,FALSE)</f>
        <v>0</v>
      </c>
      <c r="E13" s="12">
        <f>VLOOKUP(A13,Dataset!A8:X47,20,FALSE)</f>
        <v>0</v>
      </c>
      <c r="F13" s="8">
        <f>VLOOKUP(A13,Dataset!A8:X47,22,FALSE)</f>
        <v>0</v>
      </c>
    </row>
    <row r="14" spans="1:7" ht="15" x14ac:dyDescent="0.25">
      <c r="A14" s="7" t="s">
        <v>16</v>
      </c>
      <c r="B14" s="12">
        <f>VLOOKUP(A14,Dataset!A9:X48,7,FALSE)</f>
        <v>21.9</v>
      </c>
      <c r="C14" s="12">
        <f>VLOOKUP(A14,Dataset!A9:X48,14,FALSE)</f>
        <v>61.5</v>
      </c>
      <c r="D14" s="12">
        <f>VLOOKUP(A14,Dataset!A9:X48,18,FALSE)</f>
        <v>40.1</v>
      </c>
      <c r="E14" s="12">
        <f>VLOOKUP(A14,Dataset!A9:X48,20,FALSE)</f>
        <v>76.599999999999994</v>
      </c>
      <c r="F14" s="8">
        <f>VLOOKUP(A14,Dataset!A9:X48,22,FALSE)</f>
        <v>40.1</v>
      </c>
    </row>
    <row r="15" spans="1:7" ht="15" x14ac:dyDescent="0.25">
      <c r="A15" s="7" t="s">
        <v>18</v>
      </c>
      <c r="B15" s="12">
        <f>VLOOKUP(A15,Dataset!A10:X49,7,FALSE)</f>
        <v>26.8</v>
      </c>
      <c r="C15" s="12">
        <f>VLOOKUP(A15,Dataset!A10:X49,14,FALSE)</f>
        <v>79.599999999999994</v>
      </c>
      <c r="D15" s="12">
        <f>VLOOKUP(A15,Dataset!A10:X49,18,FALSE)</f>
        <v>47.9</v>
      </c>
      <c r="E15" s="12">
        <f>VLOOKUP(A15,Dataset!A10:X49,20,FALSE)</f>
        <v>96.8</v>
      </c>
      <c r="F15" s="8">
        <f>VLOOKUP(A15,Dataset!A10:X49,22,FALSE)</f>
        <v>47.9</v>
      </c>
    </row>
    <row r="16" spans="1:7" ht="15" x14ac:dyDescent="0.25">
      <c r="A16" s="7" t="s">
        <v>20</v>
      </c>
      <c r="B16" s="12">
        <f>VLOOKUP(A16,Dataset!A11:X50,7,FALSE)</f>
        <v>28.5</v>
      </c>
      <c r="C16" s="12">
        <f>VLOOKUP(A16,Dataset!A11:X50,14,FALSE)</f>
        <v>85.4</v>
      </c>
      <c r="D16" s="12">
        <f>VLOOKUP(A16,Dataset!A11:X50,18,FALSE)</f>
        <v>52.3</v>
      </c>
      <c r="E16" s="12">
        <f>VLOOKUP(A16,Dataset!A11:X50,20,FALSE)</f>
        <v>106.1</v>
      </c>
      <c r="F16" s="8">
        <f>VLOOKUP(A16,Dataset!A11:X50,22,FALSE)</f>
        <v>52.3</v>
      </c>
    </row>
    <row r="17" spans="1:6" ht="15" x14ac:dyDescent="0.25">
      <c r="A17" s="7" t="s">
        <v>22</v>
      </c>
      <c r="B17" s="12">
        <f>VLOOKUP(A17,Dataset!A12:X51,7,FALSE)</f>
        <v>30.7</v>
      </c>
      <c r="C17" s="12">
        <f>VLOOKUP(A17,Dataset!A12:X51,14,FALSE)</f>
        <v>92.1</v>
      </c>
      <c r="D17" s="12">
        <f>VLOOKUP(A17,Dataset!A12:X51,18,FALSE)</f>
        <v>57</v>
      </c>
      <c r="E17" s="12">
        <f>VLOOKUP(A17,Dataset!A12:X51,20,FALSE)</f>
        <v>115.1</v>
      </c>
      <c r="F17" s="8">
        <f>VLOOKUP(A17,Dataset!A12:X51,22,FALSE)</f>
        <v>57</v>
      </c>
    </row>
    <row r="18" spans="1:6" ht="15" x14ac:dyDescent="0.25">
      <c r="A18" s="7" t="s">
        <v>23</v>
      </c>
      <c r="B18" s="12">
        <f>VLOOKUP(A18,Dataset!A13:X52,7,FALSE)</f>
        <v>33.799999999999997</v>
      </c>
      <c r="C18" s="12">
        <f>VLOOKUP(A18,Dataset!A13:X52,14,FALSE)</f>
        <v>101.3</v>
      </c>
      <c r="D18" s="12">
        <f>VLOOKUP(A18,Dataset!A13:X52,18,FALSE)</f>
        <v>61.4</v>
      </c>
      <c r="E18" s="12">
        <f>VLOOKUP(A18,Dataset!A13:X52,20,FALSE)</f>
        <v>124.4</v>
      </c>
      <c r="F18" s="8">
        <f>VLOOKUP(A18,Dataset!A13:X52,22,FALSE)</f>
        <v>61.4</v>
      </c>
    </row>
    <row r="19" spans="1:6" ht="15" x14ac:dyDescent="0.25">
      <c r="A19" s="7" t="s">
        <v>24</v>
      </c>
      <c r="B19" s="12">
        <f>VLOOKUP(A19,Dataset!A14:X53,7,FALSE)</f>
        <v>34.700000000000003</v>
      </c>
      <c r="C19" s="12">
        <f>VLOOKUP(A19,Dataset!A14:X53,14,FALSE)</f>
        <v>106.1</v>
      </c>
      <c r="D19" s="12">
        <f>VLOOKUP(A19,Dataset!A14:X53,18,FALSE)</f>
        <v>63.6</v>
      </c>
      <c r="E19" s="12">
        <f>VLOOKUP(A19,Dataset!A14:X53,20,FALSE)</f>
        <v>128.6</v>
      </c>
      <c r="F19" s="8">
        <f>VLOOKUP(A19,Dataset!A14:X53,22,FALSE)</f>
        <v>63.6</v>
      </c>
    </row>
    <row r="20" spans="1:6" ht="15" x14ac:dyDescent="0.25">
      <c r="A20" s="7" t="s">
        <v>28</v>
      </c>
      <c r="B20" s="12">
        <f>VLOOKUP(A20,Dataset!A15:X54,7,FALSE)</f>
        <v>0</v>
      </c>
      <c r="C20" s="12">
        <f>VLOOKUP(A20,Dataset!A15:X54,14,FALSE)</f>
        <v>0</v>
      </c>
      <c r="D20" s="12">
        <f>VLOOKUP(A20,Dataset!A15:X54,18,FALSE)</f>
        <v>0</v>
      </c>
      <c r="E20" s="12">
        <f>VLOOKUP(A20,Dataset!A15:X54,20,FALSE)</f>
        <v>0</v>
      </c>
      <c r="F20" s="8">
        <f>VLOOKUP(A20,Dataset!A15:X54,22,FALSE)</f>
        <v>0</v>
      </c>
    </row>
    <row r="21" spans="1:6" ht="15" x14ac:dyDescent="0.25">
      <c r="A21" s="7" t="s">
        <v>57</v>
      </c>
      <c r="B21" s="12">
        <f>VLOOKUP(A21,Dataset!A16:X55,7,FALSE)</f>
        <v>41.3</v>
      </c>
      <c r="C21" s="12">
        <f>VLOOKUP(A21,Dataset!A16:X55,14,FALSE)</f>
        <v>124.4</v>
      </c>
      <c r="D21" s="12">
        <f>VLOOKUP(A21,Dataset!A16:X55,18,FALSE)</f>
        <v>75</v>
      </c>
      <c r="E21" s="12">
        <f>VLOOKUP(A21,Dataset!A16:X55,20,FALSE)</f>
        <v>151.5</v>
      </c>
      <c r="F21" s="8">
        <f>VLOOKUP(A21,Dataset!A16:X55,22,FALSE)</f>
        <v>75</v>
      </c>
    </row>
    <row r="22" spans="1:6" ht="15" x14ac:dyDescent="0.25">
      <c r="A22" s="7" t="s">
        <v>58</v>
      </c>
      <c r="B22" s="12">
        <f>VLOOKUP(A22,Dataset!A17:X56,7,FALSE)</f>
        <v>-1</v>
      </c>
      <c r="C22" s="12">
        <f>VLOOKUP(A22,Dataset!A17:X56,14,FALSE)</f>
        <v>-1</v>
      </c>
      <c r="D22" s="12">
        <f>VLOOKUP(A22,Dataset!A17:X56,18,FALSE)</f>
        <v>-1</v>
      </c>
      <c r="E22" s="12">
        <f>VLOOKUP(A22,Dataset!A17:X56,20,FALSE)</f>
        <v>-1</v>
      </c>
      <c r="F22" s="8">
        <f>VLOOKUP(A22,Dataset!A17:X56,22,FALSE)</f>
        <v>-1</v>
      </c>
    </row>
    <row r="23" spans="1:6" ht="15" x14ac:dyDescent="0.25">
      <c r="A23" s="7" t="s">
        <v>31</v>
      </c>
      <c r="B23" s="12">
        <f>VLOOKUP(A23,Dataset!A18:X57,7,FALSE)</f>
        <v>45</v>
      </c>
      <c r="C23" s="12">
        <f>VLOOKUP(A23,Dataset!A18:X57,14,FALSE)</f>
        <v>133.4</v>
      </c>
      <c r="D23" s="12">
        <f>VLOOKUP(A23,Dataset!A18:X57,18,FALSE)</f>
        <v>79.400000000000006</v>
      </c>
      <c r="E23" s="12">
        <f>VLOOKUP(A23,Dataset!A18:X57,20,FALSE)</f>
        <v>160.9</v>
      </c>
      <c r="F23" s="8">
        <f>VLOOKUP(A23,Dataset!A18:X57,22,FALSE)</f>
        <v>79.400000000000006</v>
      </c>
    </row>
    <row r="24" spans="1:6" ht="15" x14ac:dyDescent="0.25">
      <c r="A24" s="7" t="s">
        <v>32</v>
      </c>
      <c r="B24" s="12">
        <f>VLOOKUP(A24,Dataset!A19:X58,7,FALSE)</f>
        <v>-1</v>
      </c>
      <c r="C24" s="12">
        <f>VLOOKUP(A24,Dataset!A19:X58,14,FALSE)</f>
        <v>-1</v>
      </c>
      <c r="D24" s="12">
        <f>VLOOKUP(A24,Dataset!A19:X58,18,FALSE)</f>
        <v>-1</v>
      </c>
      <c r="E24" s="12">
        <f>VLOOKUP(A24,Dataset!A19:X58,20,FALSE)</f>
        <v>-1</v>
      </c>
      <c r="F24" s="8">
        <f>VLOOKUP(A24,Dataset!A19:X58,22,FALSE)</f>
        <v>-1</v>
      </c>
    </row>
    <row r="25" spans="1:6" ht="15" x14ac:dyDescent="0.25">
      <c r="A25" s="7" t="s">
        <v>34</v>
      </c>
      <c r="B25" s="12">
        <f>VLOOKUP(A25,Dataset!A20:X59,7,FALSE)</f>
        <v>43.3</v>
      </c>
      <c r="C25" s="12">
        <f>VLOOKUP(A25,Dataset!A20:X59,14,FALSE)</f>
        <v>128.6</v>
      </c>
      <c r="D25" s="12">
        <f>VLOOKUP(A25,Dataset!A20:X59,18,FALSE)</f>
        <v>79.400000000000006</v>
      </c>
      <c r="E25" s="12">
        <f>VLOOKUP(A25,Dataset!A20:X59,20,FALSE)</f>
        <v>160.9</v>
      </c>
      <c r="F25" s="8">
        <f>VLOOKUP(A25,Dataset!A20:X59,22,FALSE)</f>
        <v>79.400000000000006</v>
      </c>
    </row>
    <row r="26" spans="1:6" ht="15" x14ac:dyDescent="0.25">
      <c r="A26" s="7" t="s">
        <v>37</v>
      </c>
      <c r="B26" s="12">
        <f>VLOOKUP(A26,Dataset!A21:X60,7,FALSE)</f>
        <v>49.1</v>
      </c>
      <c r="C26" s="12">
        <f>VLOOKUP(A26,Dataset!A21:X60,14,FALSE)</f>
        <v>146.80000000000001</v>
      </c>
      <c r="D26" s="12">
        <f>VLOOKUP(A26,Dataset!A21:X60,18,FALSE)</f>
        <v>90.9</v>
      </c>
      <c r="E26" s="12">
        <f>VLOOKUP(A26,Dataset!A21:X60,20,FALSE)</f>
        <v>183.5</v>
      </c>
      <c r="F26" s="8">
        <f>VLOOKUP(A26,Dataset!A21:X60,22,FALSE)</f>
        <v>90.9</v>
      </c>
    </row>
    <row r="27" spans="1:6" ht="15" x14ac:dyDescent="0.25">
      <c r="A27" s="7" t="s">
        <v>39</v>
      </c>
      <c r="B27" s="12">
        <f>VLOOKUP(A27,Dataset!A22:X61,7,FALSE)</f>
        <v>51.8</v>
      </c>
      <c r="C27" s="12">
        <f>VLOOKUP(A27,Dataset!A22:X61,14,FALSE)</f>
        <v>156.4</v>
      </c>
      <c r="D27" s="12">
        <f>VLOOKUP(A27,Dataset!A22:X61,18,FALSE)</f>
        <v>93.1</v>
      </c>
      <c r="E27" s="12">
        <f>VLOOKUP(A27,Dataset!A22:X61,20,FALSE)</f>
        <v>188.1</v>
      </c>
      <c r="F27" s="8">
        <f>VLOOKUP(A27,Dataset!A22:X61,22,FALSE)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M55"/>
  <sheetViews>
    <sheetView zoomScaleNormal="100" workbookViewId="0">
      <selection activeCell="I12" sqref="I12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3" s="41" customFormat="1" ht="21" x14ac:dyDescent="0.35">
      <c r="A1" s="42" t="s">
        <v>56</v>
      </c>
      <c r="B1" s="41" t="s">
        <v>174</v>
      </c>
    </row>
    <row r="2" spans="1:13" customFormat="1" ht="12.75" x14ac:dyDescent="0.2"/>
    <row r="3" spans="1:13" s="2" customFormat="1" x14ac:dyDescent="0.25">
      <c r="B3" s="1"/>
    </row>
    <row r="4" spans="1:13" s="2" customFormat="1" x14ac:dyDescent="0.25">
      <c r="B4" s="1" t="s">
        <v>151</v>
      </c>
    </row>
    <row r="5" spans="1:13" ht="18.75" x14ac:dyDescent="0.3">
      <c r="A5" s="43" t="s">
        <v>53</v>
      </c>
      <c r="B5" s="40" t="s">
        <v>177</v>
      </c>
    </row>
    <row r="6" spans="1:13" ht="18.75" x14ac:dyDescent="0.3">
      <c r="A6" s="43" t="s">
        <v>153</v>
      </c>
      <c r="B6" s="40" t="s">
        <v>178</v>
      </c>
      <c r="G6" s="40"/>
      <c r="M6" s="40" t="s">
        <v>179</v>
      </c>
    </row>
    <row r="7" spans="1:13" ht="18.75" x14ac:dyDescent="0.3">
      <c r="A7" s="43"/>
      <c r="B7" s="40" t="s">
        <v>181</v>
      </c>
    </row>
    <row r="8" spans="1:13" ht="18.75" x14ac:dyDescent="0.3">
      <c r="A8" s="43"/>
      <c r="B8" s="40" t="s">
        <v>180</v>
      </c>
    </row>
    <row r="10" spans="1:13" ht="23.25" x14ac:dyDescent="0.35">
      <c r="A10" s="18" t="s">
        <v>165</v>
      </c>
      <c r="I10" s="2"/>
      <c r="J10" s="2"/>
    </row>
    <row r="11" spans="1:13" x14ac:dyDescent="0.25">
      <c r="A11" s="33" t="s">
        <v>102</v>
      </c>
      <c r="B11" s="17" t="s">
        <v>49</v>
      </c>
      <c r="C11" s="17" t="s">
        <v>50</v>
      </c>
      <c r="D11" s="17" t="s">
        <v>51</v>
      </c>
      <c r="E11" s="17" t="s">
        <v>52</v>
      </c>
      <c r="F11" s="17" t="s">
        <v>54</v>
      </c>
      <c r="I11" s="2"/>
      <c r="J11" s="2"/>
    </row>
    <row r="12" spans="1:13" x14ac:dyDescent="0.25">
      <c r="A12" s="9" t="s">
        <v>121</v>
      </c>
      <c r="B12" s="13">
        <v>20000</v>
      </c>
      <c r="C12" s="13" t="s">
        <v>5</v>
      </c>
      <c r="D12" s="13">
        <v>0</v>
      </c>
      <c r="E12" s="11" t="s">
        <v>6</v>
      </c>
      <c r="F12" s="11">
        <v>24</v>
      </c>
      <c r="I12" s="2"/>
      <c r="J12" s="2"/>
    </row>
    <row r="15" spans="1:13" ht="23.25" x14ac:dyDescent="0.35">
      <c r="A15" s="18" t="s">
        <v>162</v>
      </c>
    </row>
    <row r="16" spans="1:13" x14ac:dyDescent="0.25">
      <c r="A16" s="14" t="s">
        <v>103</v>
      </c>
      <c r="B16" s="17" t="s">
        <v>49</v>
      </c>
      <c r="C16" s="15" t="s">
        <v>50</v>
      </c>
      <c r="D16" s="17" t="s">
        <v>51</v>
      </c>
      <c r="E16" s="15" t="s">
        <v>52</v>
      </c>
      <c r="F16" s="17" t="s">
        <v>54</v>
      </c>
    </row>
    <row r="17" spans="1:6" x14ac:dyDescent="0.25">
      <c r="A17" s="7" t="s">
        <v>121</v>
      </c>
      <c r="B17" s="12">
        <v>20000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122</v>
      </c>
      <c r="B18" s="12">
        <v>20002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123</v>
      </c>
      <c r="B19" s="12">
        <v>20004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124</v>
      </c>
      <c r="B20" s="12">
        <v>20006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125</v>
      </c>
      <c r="B21" s="12">
        <v>20008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126</v>
      </c>
      <c r="B22" s="12">
        <v>20010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127</v>
      </c>
      <c r="B23" s="12">
        <v>20012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128</v>
      </c>
      <c r="B24" s="12">
        <v>20014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129</v>
      </c>
      <c r="B25" s="12">
        <v>20016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130</v>
      </c>
      <c r="B26" s="12">
        <v>20018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131</v>
      </c>
      <c r="B27" s="12">
        <v>20020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132</v>
      </c>
      <c r="B28" s="12">
        <v>20022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133</v>
      </c>
      <c r="B29" s="12">
        <v>20024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134</v>
      </c>
      <c r="B30" s="12">
        <v>20026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135</v>
      </c>
      <c r="B31" s="12">
        <v>20028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136</v>
      </c>
      <c r="B32" s="12">
        <v>20030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137</v>
      </c>
      <c r="B33" s="12">
        <v>20032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138</v>
      </c>
      <c r="B34" s="12">
        <v>20034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139</v>
      </c>
      <c r="B35" s="12">
        <v>20036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140</v>
      </c>
      <c r="B36" s="12">
        <v>20038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141</v>
      </c>
      <c r="B37" s="12">
        <v>20040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142</v>
      </c>
      <c r="B38" s="12">
        <v>20042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143</v>
      </c>
      <c r="B39" s="12">
        <v>20044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144</v>
      </c>
      <c r="B40" s="12">
        <v>20046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145</v>
      </c>
      <c r="B41" s="12">
        <v>20048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146</v>
      </c>
      <c r="B42" s="12">
        <v>20050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147</v>
      </c>
      <c r="B43" s="12">
        <v>20052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148</v>
      </c>
      <c r="B44" s="12">
        <v>20054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149</v>
      </c>
      <c r="B45" s="12">
        <v>20058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150</v>
      </c>
      <c r="B46" s="12">
        <v>20060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112</v>
      </c>
      <c r="B47" s="12">
        <v>21000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113</v>
      </c>
      <c r="B48" s="12">
        <v>21002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114</v>
      </c>
      <c r="B49" s="12">
        <v>21004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115</v>
      </c>
      <c r="B50" s="12">
        <v>21006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116</v>
      </c>
      <c r="B51" s="12">
        <v>21008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117</v>
      </c>
      <c r="B52" s="12">
        <v>21010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118</v>
      </c>
      <c r="B53" s="12">
        <v>21012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7" t="s">
        <v>119</v>
      </c>
      <c r="B54" s="12">
        <v>21014</v>
      </c>
      <c r="C54" s="1" t="s">
        <v>5</v>
      </c>
      <c r="D54" s="12">
        <v>0</v>
      </c>
      <c r="E54" s="1" t="s">
        <v>6</v>
      </c>
      <c r="F54" s="12">
        <v>24</v>
      </c>
    </row>
    <row r="55" spans="1:6" x14ac:dyDescent="0.25">
      <c r="A55" s="9" t="s">
        <v>120</v>
      </c>
      <c r="B55" s="13">
        <v>21016</v>
      </c>
      <c r="C55" s="10" t="s">
        <v>5</v>
      </c>
      <c r="D55" s="13">
        <v>0</v>
      </c>
      <c r="E55" s="10" t="s">
        <v>6</v>
      </c>
      <c r="F55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3"/>
  <sheetViews>
    <sheetView zoomScaleNormal="100" workbookViewId="0">
      <selection activeCell="I19" sqref="I19"/>
    </sheetView>
  </sheetViews>
  <sheetFormatPr defaultColWidth="11" defaultRowHeight="12.75" x14ac:dyDescent="0.2"/>
  <cols>
    <col min="1" max="1" width="30.1640625" style="2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8.75" x14ac:dyDescent="0.3">
      <c r="A6" s="3" t="s">
        <v>53</v>
      </c>
      <c r="B6" s="40" t="s">
        <v>185</v>
      </c>
    </row>
    <row r="7" spans="1:3" ht="18.75" x14ac:dyDescent="0.3">
      <c r="A7" s="3" t="s">
        <v>153</v>
      </c>
      <c r="B7" s="40" t="s">
        <v>182</v>
      </c>
    </row>
    <row r="8" spans="1:3" ht="18.75" x14ac:dyDescent="0.3">
      <c r="B8" s="40" t="s">
        <v>183</v>
      </c>
    </row>
    <row r="9" spans="1:3" ht="18.75" x14ac:dyDescent="0.3">
      <c r="B9" s="40" t="s">
        <v>184</v>
      </c>
    </row>
    <row r="11" spans="1:3" ht="23.25" x14ac:dyDescent="0.35">
      <c r="A11" s="18" t="s">
        <v>162</v>
      </c>
    </row>
    <row r="12" spans="1:3" ht="15" x14ac:dyDescent="0.25">
      <c r="A12" s="32" t="s">
        <v>86</v>
      </c>
      <c r="B12" s="17" t="s">
        <v>87</v>
      </c>
      <c r="C12" s="17" t="s">
        <v>88</v>
      </c>
    </row>
    <row r="13" spans="1:3" ht="15" x14ac:dyDescent="0.25">
      <c r="A13" s="32">
        <v>44927</v>
      </c>
      <c r="B13" s="17" t="s">
        <v>59</v>
      </c>
      <c r="C13" s="17">
        <v>200</v>
      </c>
    </row>
    <row r="14" spans="1:3" ht="15" x14ac:dyDescent="0.25">
      <c r="A14" s="32">
        <v>44928</v>
      </c>
      <c r="B14" s="17" t="s">
        <v>60</v>
      </c>
      <c r="C14" s="17" t="e">
        <v>#N/A</v>
      </c>
    </row>
    <row r="15" spans="1:3" ht="15" x14ac:dyDescent="0.25">
      <c r="A15" s="32">
        <v>44929</v>
      </c>
      <c r="B15" s="17" t="s">
        <v>61</v>
      </c>
      <c r="C15" s="17">
        <v>50</v>
      </c>
    </row>
    <row r="16" spans="1:3" ht="15" x14ac:dyDescent="0.25">
      <c r="A16" s="32">
        <v>44930</v>
      </c>
      <c r="B16" s="17" t="s">
        <v>62</v>
      </c>
      <c r="C16" s="17" t="e">
        <v>#N/A</v>
      </c>
    </row>
    <row r="17" spans="1:3" ht="15" x14ac:dyDescent="0.25">
      <c r="A17" s="32">
        <v>44931</v>
      </c>
      <c r="B17" s="17" t="s">
        <v>63</v>
      </c>
      <c r="C17" s="17">
        <v>10</v>
      </c>
    </row>
    <row r="18" spans="1:3" ht="15" x14ac:dyDescent="0.25">
      <c r="A18" s="32">
        <v>44932</v>
      </c>
      <c r="B18" s="17" t="s">
        <v>154</v>
      </c>
      <c r="C18" s="17">
        <v>150</v>
      </c>
    </row>
    <row r="19" spans="1:3" ht="15" x14ac:dyDescent="0.25">
      <c r="A19" s="32">
        <v>44933</v>
      </c>
      <c r="B19" s="17" t="s">
        <v>155</v>
      </c>
      <c r="C19" s="17">
        <v>80</v>
      </c>
    </row>
    <row r="20" spans="1:3" ht="15" x14ac:dyDescent="0.25">
      <c r="A20" s="32">
        <v>44934</v>
      </c>
      <c r="B20" s="17" t="s">
        <v>156</v>
      </c>
      <c r="C20" s="17" t="e">
        <v>#N/A</v>
      </c>
    </row>
    <row r="21" spans="1:3" ht="15" x14ac:dyDescent="0.25">
      <c r="A21" s="32">
        <v>44935</v>
      </c>
      <c r="B21" s="17" t="s">
        <v>157</v>
      </c>
      <c r="C21" s="17">
        <v>30</v>
      </c>
    </row>
    <row r="22" spans="1:3" ht="15" x14ac:dyDescent="0.25">
      <c r="A22" s="32">
        <v>44936</v>
      </c>
      <c r="B22" s="17" t="s">
        <v>158</v>
      </c>
      <c r="C22" s="17" t="e">
        <v>#N/A</v>
      </c>
    </row>
    <row r="23" spans="1:3" ht="15" x14ac:dyDescent="0.25">
      <c r="B23" s="17" t="s">
        <v>159</v>
      </c>
      <c r="C23" s="25">
        <f>SUMIF(C13:C22,"&lt;&gt;#N/A") + COUNTIF(C13:C22,"&lt;&gt;#N/A")*20</f>
        <v>640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1" sqref="B1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K9" s="26" t="s">
        <v>186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K10" s="25" t="str">
        <f>M10&amp;"-"&amp;N10</f>
        <v>10100-A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K11" s="25" t="str">
        <f t="shared" ref="K11:K18" si="0">M11&amp;"-"&amp;N11</f>
        <v>10102-B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K12" s="25" t="str">
        <f t="shared" si="0"/>
        <v>10104-C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K13" s="25" t="str">
        <f t="shared" si="0"/>
        <v>10106-D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K14" s="25" t="str">
        <f t="shared" si="0"/>
        <v>10108-E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K15" s="25" t="str">
        <f t="shared" si="0"/>
        <v>10110-F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K16" s="25" t="str">
        <f t="shared" si="0"/>
        <v>10112-G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K17" s="25" t="str">
        <f t="shared" si="0"/>
        <v>10114-H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K18" s="25" t="str">
        <f t="shared" si="0"/>
        <v>10116-I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 t="str">
        <f>IFERROR(VLOOKUP(A23, A9:K18, MATCH(B23, A9:K9, 0), FALSE) + VLOOKUP(B23, A9:K18, MATCH(A23, A9:K9, 0), FALSE),"")</f>
        <v/>
      </c>
    </row>
    <row r="24" spans="1:14" ht="15" x14ac:dyDescent="0.25">
      <c r="A24" s="7">
        <v>10100</v>
      </c>
      <c r="B24" s="12">
        <v>10104</v>
      </c>
      <c r="C24" s="44" t="str">
        <f>IFERROR(VLOOKUP(A24, A10:J19, MATCH(B24, A10:J10, 0), FALSE) + VLOOKUP(B24, A10:J19, MATCH(A24, A10:J10, 0), FALSE), "")</f>
        <v/>
      </c>
    </row>
    <row r="25" spans="1:14" ht="15" x14ac:dyDescent="0.25">
      <c r="A25" s="7">
        <v>10108</v>
      </c>
      <c r="B25" s="12">
        <v>10102</v>
      </c>
      <c r="C25" s="44" t="str">
        <f t="shared" ref="C25" si="1">IFERROR(VLOOKUP(A25, A11:K20, MATCH(B25, A11:K11, 0), FALSE) + VLOOKUP(B25, A11:K20, MATCH(A25, A11:K11, 0), FALSE), "")</f>
        <v/>
      </c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Samrudhi Dani</cp:lastModifiedBy>
  <dcterms:created xsi:type="dcterms:W3CDTF">2015-02-10T17:33:11Z</dcterms:created>
  <dcterms:modified xsi:type="dcterms:W3CDTF">2023-12-10T06:35:06Z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2023-12-09T08:20:06Z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a03a40b3-fd1e-44c9-8110-0c12ddf32327</vt:lpwstr>
  </property>
  <property fmtid="{D5CDD505-2E9C-101B-9397-08002B2CF9AE}" pid="7" name="MSIP_Label_defa4170-0d19-0005-0004-bc88714345d2_ActionId">
    <vt:lpwstr>49c57175-2f14-4b3d-a535-82092aa5fbc2</vt:lpwstr>
  </property>
  <property fmtid="{D5CDD505-2E9C-101B-9397-08002B2CF9AE}" pid="8" name="MSIP_Label_defa4170-0d19-0005-0004-bc88714345d2_ContentBits">
    <vt:lpwstr>0</vt:lpwstr>
  </property>
</Properties>
</file>